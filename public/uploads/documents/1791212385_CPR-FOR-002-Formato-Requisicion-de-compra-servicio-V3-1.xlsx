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Y:\Sistema-Gestion-de-Calidad (SGC)\SGC 2026\Procesos\Apoyo\Administrativo\Compras\Formatos\versiones actualizadas 2026\"/>
    </mc:Choice>
  </mc:AlternateContent>
  <xr:revisionPtr revIDLastSave="0" documentId="13_ncr:1_{9545D43A-B86E-4D11-8476-14E0ED6FC6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PR-FOR-002" sheetId="1" r:id="rId1"/>
    <sheet name="Hoja1" sheetId="4" r:id="rId2"/>
    <sheet name="COD DE AREA" sheetId="3" state="hidden" r:id="rId3"/>
  </sheets>
  <definedNames>
    <definedName name="_xlnm.Print_Area" localSheetId="0">'CPR-FOR-002'!$A$1:$AC$31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1" l="1"/>
  <c r="Q14" i="1"/>
  <c r="Q16" i="1"/>
  <c r="Q17" i="1"/>
  <c r="Q13" i="1"/>
  <c r="Q18" i="1" l="1"/>
  <c r="H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tc={5B14212E-06F4-46FC-8A85-DDCE001AEE64}</author>
    <author>Shirley Jasmin Hernandez Puentes</author>
  </authors>
  <commentList>
    <comment ref="F7" authorId="0" shapeId="0" xr:uid="{5B14212E-06F4-46FC-8A85-DDCE001AEE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diligencia compras</t>
      </text>
    </comment>
    <comment ref="C12" authorId="1" shapeId="0" xr:uid="{A4F61D11-4A40-4980-BA07-B74EF5C79262}">
      <text>
        <r>
          <rPr>
            <b/>
            <sz val="9"/>
            <color indexed="81"/>
            <rFont val="Tahoma"/>
            <family val="2"/>
          </rPr>
          <t>Shirley Jasmin Hernandez Puentes:</t>
        </r>
        <r>
          <rPr>
            <sz val="9"/>
            <color indexed="81"/>
            <rFont val="Tahoma"/>
            <family val="2"/>
          </rPr>
          <t xml:space="preserve">
(Marca, referencia, etc.)</t>
        </r>
      </text>
    </comment>
  </commentList>
</comments>
</file>

<file path=xl/sharedStrings.xml><?xml version="1.0" encoding="utf-8"?>
<sst xmlns="http://schemas.openxmlformats.org/spreadsheetml/2006/main" count="83" uniqueCount="77">
  <si>
    <t>FORMATO</t>
  </si>
  <si>
    <t>REQUISICIÓN DE COMPRA / SERVICIO</t>
  </si>
  <si>
    <t>ÁREA:</t>
  </si>
  <si>
    <t>COMPRAS</t>
  </si>
  <si>
    <t>No DE SOLICITUD</t>
  </si>
  <si>
    <t>NORMAL</t>
  </si>
  <si>
    <t>URGENTE</t>
  </si>
  <si>
    <t>SERVICIO</t>
  </si>
  <si>
    <t>BIEN</t>
  </si>
  <si>
    <t>ITEM</t>
  </si>
  <si>
    <t xml:space="preserve">DESCRIPCIÓN  DETALLADA DEL PRODUCTO  O SERVICIO </t>
  </si>
  <si>
    <t>CANTIDAD REQUERIDA</t>
  </si>
  <si>
    <t>CAMPOS DE AUTORIZACIONES A DILIGENCIAR</t>
  </si>
  <si>
    <t>Solicitado por:</t>
  </si>
  <si>
    <t>Recibido por:</t>
  </si>
  <si>
    <t>NOMBRE</t>
  </si>
  <si>
    <t>APLICA</t>
  </si>
  <si>
    <t>SI</t>
  </si>
  <si>
    <t>No</t>
  </si>
  <si>
    <t>FIRMA</t>
  </si>
  <si>
    <t>FIRMA O 
SELLO</t>
  </si>
  <si>
    <t>FECHA DE
VERIFICACIÓN</t>
  </si>
  <si>
    <t>FECHA  DE
APROBACIÓN</t>
  </si>
  <si>
    <t>FECHA DE
APROBACIÓN</t>
  </si>
  <si>
    <t>FECHA DE RECIBIDO</t>
  </si>
  <si>
    <t>RESULTADO DE LA VERIFICACIÓN</t>
  </si>
  <si>
    <t xml:space="preserve">            RECHAZADA</t>
  </si>
  <si>
    <t>CAUSAS DE RECHAZO:</t>
  </si>
  <si>
    <t>Columna1</t>
  </si>
  <si>
    <t>CIBERSEGURIDAD - CBS</t>
  </si>
  <si>
    <t>FINANCIERA - FIN</t>
  </si>
  <si>
    <t>OPERACIONES - OPE</t>
  </si>
  <si>
    <t>PRESIDENCIA - PRE</t>
  </si>
  <si>
    <t>TALENTO HUMANO - THU</t>
  </si>
  <si>
    <t>VIP ACCOUNT MANAGER - VIP</t>
  </si>
  <si>
    <t>OBSERVACIONES
Use este campo para información adicional relevante (ej. condiciones técnicas o de entrega).</t>
  </si>
  <si>
    <t>FECHA ESPERADA DE ENTREGA DEL BIEN/SERVICIO</t>
  </si>
  <si>
    <t>Verificado</t>
  </si>
  <si>
    <t>Control Interno</t>
  </si>
  <si>
    <t>Autorizado</t>
  </si>
  <si>
    <t>Financiera</t>
  </si>
  <si>
    <t>Presidencia</t>
  </si>
  <si>
    <t>FECHA
DE SOLICITUD</t>
  </si>
  <si>
    <t>MARKETING - MKT</t>
  </si>
  <si>
    <t>TIPO DE 
SOLICITUD</t>
  </si>
  <si>
    <t>CÓDIGO: CPR-FOR-002</t>
  </si>
  <si>
    <t>VERSIÓN:  3</t>
  </si>
  <si>
    <t>FECHA ACTUALIZACIÓN: 16-04-2026</t>
  </si>
  <si>
    <t>CENTRO DE COSTO /ÁREA SOLICITANTE:</t>
  </si>
  <si>
    <t xml:space="preserve">OBSERVACIONES:(Aplica para las firmas autorizadas) </t>
  </si>
  <si>
    <t>TECNOLOGÍA - TI</t>
  </si>
  <si>
    <t>SISTEMA INTEGRADOS DE GESTIÓN - CAL</t>
  </si>
  <si>
    <t>LEGAL Y CUMPLIMIENTO - LEG  - CUM</t>
  </si>
  <si>
    <t>Compras</t>
  </si>
  <si>
    <r>
      <t xml:space="preserve">PRIORIDAD DE LA REQUISICIÓN:
</t>
    </r>
    <r>
      <rPr>
        <sz val="10"/>
        <rFont val="Arial"/>
        <family val="2"/>
      </rPr>
      <t>Seleccione Urgente solo si impacta la continuidad del servicio o compromisos contractuales</t>
    </r>
  </si>
  <si>
    <r>
      <rPr>
        <b/>
        <sz val="11"/>
        <rFont val="Arial"/>
        <family val="2"/>
      </rPr>
      <t xml:space="preserve">NOMBRE DE LA CAMPAÑA / PROMOCIONAL </t>
    </r>
    <r>
      <rPr>
        <b/>
        <sz val="11"/>
        <rFont val="Calibri"/>
        <family val="2"/>
      </rPr>
      <t xml:space="preserve">
</t>
    </r>
    <r>
      <rPr>
        <sz val="10"/>
        <rFont val="Arial"/>
        <family val="2"/>
      </rPr>
      <t>Indique el nombre exacto de la campaña o marque N/A si no aplica</t>
    </r>
  </si>
  <si>
    <r>
      <t xml:space="preserve">TIPO DE REQUISICIÓN :
</t>
    </r>
    <r>
      <rPr>
        <sz val="11"/>
        <rFont val="Arial"/>
        <family val="2"/>
      </rPr>
      <t>Marque Bien si es un producto físico o Servicio si corresponde a una prestación.</t>
    </r>
  </si>
  <si>
    <r>
      <t xml:space="preserve">JUSTIFICACIÓN: </t>
    </r>
    <r>
      <rPr>
        <sz val="11"/>
        <rFont val="Arial"/>
        <family val="2"/>
      </rPr>
      <t>Explique la necesidad y el objetivo de la compra o servicio, indicando su relación con actividades, proyectos o requerimientos del área.</t>
    </r>
  </si>
  <si>
    <t xml:space="preserve">SI APLICA </t>
  </si>
  <si>
    <t>Nota:el area de compras no procede a generar orden de compra o servicio sin las firmas autorizadas en la requisición.</t>
  </si>
  <si>
    <r>
      <t xml:space="preserve">VALOR TOTAL APROX. $
</t>
    </r>
    <r>
      <rPr>
        <b/>
        <sz val="11"/>
        <color theme="0" tint="-0.34998626667073579"/>
        <rFont val="Arial"/>
        <family val="2"/>
      </rPr>
      <t xml:space="preserve"> (si aplica)</t>
    </r>
  </si>
  <si>
    <r>
      <t xml:space="preserve">OBSERVACIONES
</t>
    </r>
    <r>
      <rPr>
        <sz val="9"/>
        <color theme="1"/>
        <rFont val="Arial"/>
        <family val="2"/>
      </rPr>
      <t>Aclarar el origen o condición del valor estimado (ej. cotización, promoción, valor aproximado)</t>
    </r>
  </si>
  <si>
    <r>
      <t xml:space="preserve">VALOR TOTAL APROX. ($)
 </t>
    </r>
    <r>
      <rPr>
        <b/>
        <sz val="10"/>
        <color theme="0" tint="-0.34998626667073579"/>
        <rFont val="Arial"/>
        <family val="2"/>
      </rPr>
      <t>(si aplica)</t>
    </r>
    <r>
      <rPr>
        <b/>
        <sz val="10"/>
        <color rgb="FFFFFFFF"/>
        <rFont val="Arial"/>
        <family val="2"/>
      </rPr>
      <t xml:space="preserve"> </t>
    </r>
  </si>
  <si>
    <t>NO</t>
  </si>
  <si>
    <t>¿Requiere contrato?</t>
  </si>
  <si>
    <t>SÍ</t>
  </si>
  <si>
    <r>
      <t xml:space="preserve"> ÁREA LEGAL 
</t>
    </r>
    <r>
      <rPr>
        <b/>
        <sz val="8"/>
        <color theme="1"/>
        <rFont val="Arial"/>
        <family val="2"/>
      </rPr>
      <t>(Notificación)</t>
    </r>
  </si>
  <si>
    <t>FECHA</t>
  </si>
  <si>
    <r>
      <t xml:space="preserve">CONTROL DE CONTRATOS  </t>
    </r>
    <r>
      <rPr>
        <b/>
        <sz val="8"/>
        <color theme="1"/>
        <rFont val="Arial"/>
        <family val="2"/>
      </rPr>
      <t>(La firma legal solo acredita la recepción y registro de la necesidad de contrato).</t>
    </r>
  </si>
  <si>
    <r>
      <t xml:space="preserve">VALOR UNITARIO ($) 
</t>
    </r>
    <r>
      <rPr>
        <b/>
        <sz val="10"/>
        <color theme="0" tint="-0.34998626667073579"/>
        <rFont val="Arial"/>
        <family val="2"/>
      </rPr>
      <t>(si aplica)</t>
    </r>
  </si>
  <si>
    <r>
      <t xml:space="preserve">PROVEEDOR PROPUESTO
 </t>
    </r>
    <r>
      <rPr>
        <b/>
        <sz val="10"/>
        <color theme="0" tint="-0.34998626667073579"/>
        <rFont val="Arial"/>
        <family val="2"/>
      </rPr>
      <t>(si aplica)</t>
    </r>
  </si>
  <si>
    <t>Vo.Bo.</t>
  </si>
  <si>
    <t xml:space="preserve">       CAMPAÑA</t>
  </si>
  <si>
    <t>CAMPAÑA</t>
  </si>
  <si>
    <t>PROMOCIONAL</t>
  </si>
  <si>
    <t>OTRO</t>
  </si>
  <si>
    <t>APROBADA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</si>
</sst>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[$-C0A]d\-mmm\-yy"/>
  </numFmts>
  <fonts count="3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0" tint="-0.34998626667073579"/>
      <name val="Arial"/>
      <family val="2"/>
    </font>
    <font>
      <b/>
      <sz val="9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0" tint="-0.34998626667073579"/>
      <name val="Arial"/>
      <family val="2"/>
    </font>
    <font>
      <b/>
      <sz val="8"/>
      <color theme="1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2"/>
      <color theme="0" tint="-0.34998626667073579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CE5CD"/>
        <bgColor rgb="FFFCE5C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0.14999847407452621"/>
        <bgColor rgb="FFFCE5C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theme="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rgb="FFFFC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C000"/>
      </patternFill>
    </fill>
    <fill>
      <patternFill patternType="solid">
        <fgColor theme="0" tint="-0.34998626667073579"/>
        <bgColor indexed="64"/>
      </patternFill>
    </fill>
  </fills>
  <borders count="5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2" fillId="0" borderId="0" applyFont="0" applyFill="0" applyBorder="0" applyAlignment="0" applyProtection="0"/>
  </cellStyleXfs>
  <cellXfs count="215">
    <xf numFmtId="0" fontId="0" fillId="0" borderId="0" xfId="0"/>
    <xf numFmtId="0" fontId="6" fillId="0" borderId="0" xfId="0" applyFont="1"/>
    <xf numFmtId="0" fontId="5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 applyProtection="1">
      <alignment vertical="center"/>
      <protection locked="0"/>
    </xf>
    <xf numFmtId="0" fontId="11" fillId="0" borderId="0" xfId="0" applyFont="1" applyAlignment="1">
      <alignment vertical="center"/>
    </xf>
    <xf numFmtId="0" fontId="8" fillId="13" borderId="0" xfId="0" applyFont="1" applyFill="1" applyAlignment="1">
      <alignment vertical="center"/>
    </xf>
    <xf numFmtId="0" fontId="0" fillId="13" borderId="0" xfId="0" applyFill="1" applyAlignment="1">
      <alignment vertical="center"/>
    </xf>
    <xf numFmtId="0" fontId="8" fillId="13" borderId="0" xfId="0" applyFont="1" applyFill="1" applyAlignment="1">
      <alignment horizontal="center" vertical="center"/>
    </xf>
    <xf numFmtId="44" fontId="24" fillId="0" borderId="14" xfId="0" applyNumberFormat="1" applyFont="1" applyBorder="1" applyAlignment="1" applyProtection="1">
      <alignment vertical="center"/>
      <protection locked="0"/>
    </xf>
    <xf numFmtId="0" fontId="16" fillId="13" borderId="0" xfId="0" applyFont="1" applyFill="1" applyAlignment="1">
      <alignment vertical="center"/>
    </xf>
    <xf numFmtId="0" fontId="16" fillId="0" borderId="0" xfId="0" applyFont="1" applyAlignment="1" applyProtection="1">
      <alignment vertical="center"/>
      <protection locked="0"/>
    </xf>
    <xf numFmtId="44" fontId="36" fillId="0" borderId="41" xfId="1" applyFont="1" applyBorder="1" applyAlignment="1" applyProtection="1">
      <alignment vertical="center" wrapText="1"/>
      <protection locked="0"/>
    </xf>
    <xf numFmtId="44" fontId="36" fillId="0" borderId="3" xfId="1" applyFont="1" applyBorder="1" applyAlignment="1" applyProtection="1">
      <alignment vertical="center" wrapText="1"/>
      <protection locked="0"/>
    </xf>
    <xf numFmtId="44" fontId="36" fillId="0" borderId="21" xfId="1" applyFont="1" applyBorder="1" applyAlignment="1" applyProtection="1">
      <alignment vertical="center" wrapText="1"/>
      <protection locked="0"/>
    </xf>
    <xf numFmtId="0" fontId="15" fillId="0" borderId="4" xfId="0" applyFont="1" applyBorder="1" applyAlignment="1" applyProtection="1">
      <alignment horizontal="center" vertical="center"/>
      <protection locked="0"/>
    </xf>
    <xf numFmtId="0" fontId="15" fillId="14" borderId="4" xfId="0" applyFont="1" applyFill="1" applyBorder="1" applyAlignment="1" applyProtection="1">
      <alignment horizontal="left" vertical="top"/>
      <protection locked="0"/>
    </xf>
    <xf numFmtId="0" fontId="15" fillId="14" borderId="47" xfId="0" applyFont="1" applyFill="1" applyBorder="1" applyAlignment="1" applyProtection="1">
      <alignment horizontal="left" vertical="top"/>
      <protection locked="0"/>
    </xf>
    <xf numFmtId="0" fontId="15" fillId="14" borderId="1" xfId="0" applyFont="1" applyFill="1" applyBorder="1" applyAlignment="1" applyProtection="1">
      <alignment horizontal="left" vertical="top"/>
      <protection locked="0"/>
    </xf>
    <xf numFmtId="0" fontId="15" fillId="14" borderId="2" xfId="0" applyFont="1" applyFill="1" applyBorder="1" applyAlignment="1" applyProtection="1">
      <alignment horizontal="left" vertical="top"/>
      <protection locked="0"/>
    </xf>
    <xf numFmtId="0" fontId="15" fillId="0" borderId="24" xfId="0" applyFont="1" applyBorder="1" applyAlignment="1" applyProtection="1">
      <alignment horizontal="left" vertical="top"/>
      <protection locked="0"/>
    </xf>
    <xf numFmtId="0" fontId="15" fillId="0" borderId="1" xfId="0" applyFont="1" applyBorder="1" applyAlignment="1" applyProtection="1">
      <alignment horizontal="left" vertical="top"/>
      <protection locked="0"/>
    </xf>
    <xf numFmtId="0" fontId="15" fillId="0" borderId="2" xfId="0" applyFont="1" applyBorder="1" applyAlignment="1" applyProtection="1">
      <alignment horizontal="left" vertical="top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11" xfId="0" applyFont="1" applyBorder="1" applyAlignment="1" applyProtection="1">
      <alignment vertical="center"/>
      <protection locked="0"/>
    </xf>
    <xf numFmtId="0" fontId="16" fillId="0" borderId="38" xfId="0" applyFont="1" applyBorder="1" applyAlignment="1" applyProtection="1">
      <alignment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vertical="center"/>
      <protection locked="0"/>
    </xf>
    <xf numFmtId="0" fontId="17" fillId="0" borderId="31" xfId="0" applyFont="1" applyBorder="1" applyAlignment="1" applyProtection="1">
      <alignment horizontal="center" vertical="center"/>
      <protection locked="0"/>
    </xf>
    <xf numFmtId="0" fontId="16" fillId="0" borderId="30" xfId="0" applyFont="1" applyBorder="1" applyAlignment="1" applyProtection="1">
      <alignment vertical="center"/>
      <protection locked="0"/>
    </xf>
    <xf numFmtId="0" fontId="16" fillId="0" borderId="32" xfId="0" applyFont="1" applyBorder="1" applyAlignment="1" applyProtection="1">
      <alignment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 applyProtection="1">
      <alignment vertical="center"/>
      <protection locked="0"/>
    </xf>
    <xf numFmtId="0" fontId="16" fillId="0" borderId="39" xfId="0" applyFont="1" applyBorder="1" applyAlignment="1" applyProtection="1">
      <alignment vertical="center"/>
      <protection locked="0"/>
    </xf>
    <xf numFmtId="0" fontId="16" fillId="0" borderId="9" xfId="0" applyFont="1" applyBorder="1" applyAlignment="1" applyProtection="1">
      <alignment vertical="center"/>
      <protection locked="0"/>
    </xf>
    <xf numFmtId="0" fontId="35" fillId="0" borderId="4" xfId="0" applyFont="1" applyBorder="1" applyAlignment="1" applyProtection="1">
      <alignment horizontal="center" vertical="center" wrapText="1"/>
      <protection locked="0"/>
    </xf>
    <xf numFmtId="0" fontId="35" fillId="0" borderId="10" xfId="0" applyFont="1" applyBorder="1" applyAlignment="1" applyProtection="1">
      <alignment vertical="center"/>
      <protection locked="0"/>
    </xf>
    <xf numFmtId="0" fontId="35" fillId="0" borderId="9" xfId="0" applyFont="1" applyBorder="1" applyAlignment="1" applyProtection="1">
      <alignment vertical="center"/>
      <protection locked="0"/>
    </xf>
    <xf numFmtId="1" fontId="35" fillId="0" borderId="21" xfId="0" applyNumberFormat="1" applyFont="1" applyBorder="1" applyAlignment="1" applyProtection="1">
      <alignment horizontal="center" vertical="center" wrapText="1"/>
      <protection locked="0"/>
    </xf>
    <xf numFmtId="0" fontId="35" fillId="0" borderId="21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49" fontId="32" fillId="0" borderId="6" xfId="0" applyNumberFormat="1" applyFont="1" applyBorder="1" applyAlignment="1" applyProtection="1">
      <alignment horizontal="center" vertical="center" wrapText="1"/>
      <protection locked="0"/>
    </xf>
    <xf numFmtId="0" fontId="33" fillId="0" borderId="6" xfId="0" applyFont="1" applyBorder="1" applyAlignment="1" applyProtection="1">
      <alignment horizontal="center" vertical="center"/>
      <protection locked="0"/>
    </xf>
    <xf numFmtId="0" fontId="34" fillId="0" borderId="18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35" fillId="0" borderId="41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vertical="center"/>
      <protection locked="0"/>
    </xf>
    <xf numFmtId="0" fontId="35" fillId="0" borderId="20" xfId="0" applyFont="1" applyBorder="1" applyAlignment="1" applyProtection="1">
      <alignment vertical="center"/>
      <protection locked="0"/>
    </xf>
    <xf numFmtId="0" fontId="31" fillId="3" borderId="3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 vertical="center"/>
    </xf>
    <xf numFmtId="49" fontId="31" fillId="0" borderId="6" xfId="0" applyNumberFormat="1" applyFont="1" applyBorder="1" applyAlignment="1" applyProtection="1">
      <alignment horizontal="center" vertical="center" wrapText="1"/>
      <protection locked="0"/>
    </xf>
    <xf numFmtId="0" fontId="24" fillId="0" borderId="8" xfId="0" applyFont="1" applyBorder="1" applyAlignment="1" applyProtection="1">
      <alignment horizontal="center" vertical="center" wrapText="1"/>
      <protection locked="0"/>
    </xf>
    <xf numFmtId="0" fontId="24" fillId="0" borderId="4" xfId="0" applyFont="1" applyBorder="1" applyAlignment="1" applyProtection="1">
      <alignment horizontal="center" vertical="center" wrapText="1"/>
      <protection locked="0"/>
    </xf>
    <xf numFmtId="0" fontId="24" fillId="0" borderId="17" xfId="0" applyFont="1" applyBorder="1" applyAlignment="1" applyProtection="1">
      <alignment horizontal="center" vertical="center" wrapText="1"/>
      <protection locked="0"/>
    </xf>
    <xf numFmtId="1" fontId="35" fillId="0" borderId="41" xfId="0" applyNumberFormat="1" applyFont="1" applyBorder="1" applyAlignment="1" applyProtection="1">
      <alignment horizontal="center" vertical="center" wrapText="1"/>
      <protection locked="0"/>
    </xf>
    <xf numFmtId="0" fontId="35" fillId="0" borderId="41" xfId="0" applyFont="1" applyBorder="1" applyAlignment="1" applyProtection="1">
      <alignment vertical="center"/>
      <protection locked="0"/>
    </xf>
    <xf numFmtId="44" fontId="35" fillId="0" borderId="41" xfId="1" applyFont="1" applyBorder="1" applyAlignment="1" applyProtection="1">
      <alignment horizontal="center" vertical="center" wrapText="1"/>
      <protection locked="0"/>
    </xf>
    <xf numFmtId="44" fontId="35" fillId="0" borderId="41" xfId="1" applyFont="1" applyBorder="1" applyAlignment="1" applyProtection="1">
      <alignment vertical="center"/>
      <protection locked="0"/>
    </xf>
    <xf numFmtId="49" fontId="35" fillId="0" borderId="3" xfId="0" applyNumberFormat="1" applyFont="1" applyBorder="1" applyAlignment="1" applyProtection="1">
      <alignment horizontal="center" vertical="center" wrapText="1"/>
      <protection locked="0"/>
    </xf>
    <xf numFmtId="0" fontId="35" fillId="0" borderId="3" xfId="0" applyFont="1" applyBorder="1" applyAlignment="1" applyProtection="1">
      <alignment vertical="center"/>
      <protection locked="0"/>
    </xf>
    <xf numFmtId="0" fontId="35" fillId="0" borderId="16" xfId="0" applyFont="1" applyBorder="1" applyAlignment="1" applyProtection="1">
      <alignment vertical="center"/>
      <protection locked="0"/>
    </xf>
    <xf numFmtId="49" fontId="35" fillId="0" borderId="41" xfId="0" applyNumberFormat="1" applyFont="1" applyBorder="1" applyAlignment="1" applyProtection="1">
      <alignment horizontal="center" vertical="center" wrapText="1"/>
      <protection locked="0"/>
    </xf>
    <xf numFmtId="0" fontId="35" fillId="0" borderId="42" xfId="0" applyFont="1" applyBorder="1" applyAlignment="1" applyProtection="1">
      <alignment vertical="center"/>
      <protection locked="0"/>
    </xf>
    <xf numFmtId="0" fontId="35" fillId="0" borderId="41" xfId="0" applyFont="1" applyBorder="1" applyAlignment="1" applyProtection="1">
      <alignment horizontal="center" vertical="center"/>
      <protection locked="0"/>
    </xf>
    <xf numFmtId="0" fontId="35" fillId="0" borderId="3" xfId="0" applyFont="1" applyBorder="1" applyAlignment="1" applyProtection="1">
      <alignment horizontal="center" vertical="center"/>
      <protection locked="0"/>
    </xf>
    <xf numFmtId="0" fontId="35" fillId="0" borderId="3" xfId="0" applyFont="1" applyBorder="1" applyAlignment="1" applyProtection="1">
      <alignment horizontal="center" vertical="center" wrapText="1"/>
      <protection locked="0"/>
    </xf>
    <xf numFmtId="0" fontId="35" fillId="0" borderId="11" xfId="0" applyFont="1" applyBorder="1" applyAlignment="1" applyProtection="1">
      <alignment vertical="center"/>
      <protection locked="0"/>
    </xf>
    <xf numFmtId="0" fontId="35" fillId="0" borderId="12" xfId="0" applyFont="1" applyBorder="1" applyAlignment="1" applyProtection="1">
      <alignment vertical="center"/>
      <protection locked="0"/>
    </xf>
    <xf numFmtId="1" fontId="35" fillId="0" borderId="3" xfId="0" applyNumberFormat="1" applyFont="1" applyBorder="1" applyAlignment="1" applyProtection="1">
      <alignment horizontal="center" vertical="center" wrapText="1"/>
      <protection locked="0"/>
    </xf>
    <xf numFmtId="44" fontId="35" fillId="0" borderId="3" xfId="1" applyFont="1" applyBorder="1" applyAlignment="1" applyProtection="1">
      <alignment horizontal="center" vertical="center" wrapText="1"/>
      <protection locked="0"/>
    </xf>
    <xf numFmtId="44" fontId="35" fillId="0" borderId="3" xfId="1" applyFont="1" applyBorder="1" applyAlignment="1" applyProtection="1">
      <alignment vertical="center"/>
      <protection locked="0"/>
    </xf>
    <xf numFmtId="44" fontId="35" fillId="0" borderId="21" xfId="1" applyFont="1" applyBorder="1" applyAlignment="1" applyProtection="1">
      <alignment horizontal="center" vertical="center" wrapText="1"/>
      <protection locked="0"/>
    </xf>
    <xf numFmtId="44" fontId="35" fillId="0" borderId="21" xfId="1" applyFont="1" applyBorder="1" applyAlignment="1" applyProtection="1">
      <alignment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49" fontId="35" fillId="0" borderId="21" xfId="0" applyNumberFormat="1" applyFont="1" applyBorder="1" applyAlignment="1" applyProtection="1">
      <alignment horizontal="center" vertical="center" wrapText="1"/>
      <protection locked="0"/>
    </xf>
    <xf numFmtId="0" fontId="35" fillId="0" borderId="25" xfId="0" applyFont="1" applyBorder="1" applyAlignment="1" applyProtection="1">
      <alignment vertical="center"/>
      <protection locked="0"/>
    </xf>
    <xf numFmtId="0" fontId="24" fillId="0" borderId="24" xfId="0" applyFont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24" fillId="0" borderId="2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20" fillId="6" borderId="3" xfId="0" applyFont="1" applyFill="1" applyBorder="1" applyAlignment="1" applyProtection="1">
      <alignment horizontal="center" vertical="center" wrapText="1"/>
    </xf>
    <xf numFmtId="0" fontId="20" fillId="6" borderId="3" xfId="0" applyFont="1" applyFill="1" applyBorder="1" applyAlignment="1" applyProtection="1">
      <alignment horizontal="center" vertical="center" wrapText="1"/>
    </xf>
    <xf numFmtId="1" fontId="25" fillId="13" borderId="18" xfId="0" applyNumberFormat="1" applyFont="1" applyFill="1" applyBorder="1" applyAlignment="1" applyProtection="1">
      <alignment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" fontId="25" fillId="13" borderId="12" xfId="0" applyNumberFormat="1" applyFont="1" applyFill="1" applyBorder="1" applyAlignment="1" applyProtection="1">
      <alignment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0" fontId="22" fillId="0" borderId="6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20" fillId="0" borderId="3" xfId="0" applyNumberFormat="1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15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0" borderId="16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3" xfId="0" applyFont="1" applyBorder="1" applyAlignment="1" applyProtection="1">
      <alignment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3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2" xfId="0" applyFont="1" applyBorder="1" applyAlignment="1" applyProtection="1">
      <alignment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46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9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6" xfId="0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0" xfId="0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5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vertical="center"/>
    </xf>
    <xf numFmtId="0" fontId="15" fillId="0" borderId="6" xfId="0" applyFont="1" applyBorder="1" applyAlignment="1" applyProtection="1">
      <alignment horizontal="center" vertical="center"/>
    </xf>
    <xf numFmtId="0" fontId="16" fillId="0" borderId="6" xfId="0" applyFont="1" applyBorder="1" applyAlignment="1" applyProtection="1">
      <alignment vertical="center"/>
    </xf>
    <xf numFmtId="0" fontId="16" fillId="0" borderId="15" xfId="0" applyFont="1" applyBorder="1" applyAlignment="1" applyProtection="1">
      <alignment vertical="center"/>
    </xf>
    <xf numFmtId="0" fontId="0" fillId="0" borderId="7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15" fillId="0" borderId="3" xfId="0" applyFont="1" applyBorder="1" applyAlignment="1" applyProtection="1">
      <alignment horizontal="center" vertical="center"/>
    </xf>
    <xf numFmtId="0" fontId="16" fillId="0" borderId="3" xfId="0" applyFont="1" applyBorder="1" applyAlignment="1" applyProtection="1">
      <alignment vertical="center"/>
    </xf>
    <xf numFmtId="0" fontId="16" fillId="0" borderId="16" xfId="0" applyFont="1" applyBorder="1" applyAlignment="1" applyProtection="1">
      <alignment vertical="center"/>
    </xf>
    <xf numFmtId="0" fontId="0" fillId="0" borderId="8" xfId="0" applyBorder="1" applyAlignment="1" applyProtection="1">
      <alignment vertical="center"/>
    </xf>
    <xf numFmtId="0" fontId="0" fillId="0" borderId="4" xfId="0" applyBorder="1" applyAlignment="1" applyProtection="1">
      <alignment vertical="center"/>
    </xf>
    <xf numFmtId="0" fontId="16" fillId="0" borderId="4" xfId="0" applyFont="1" applyBorder="1" applyAlignment="1" applyProtection="1">
      <alignment vertical="center"/>
    </xf>
    <xf numFmtId="0" fontId="15" fillId="0" borderId="4" xfId="0" applyFont="1" applyBorder="1" applyAlignment="1" applyProtection="1">
      <alignment horizontal="center" vertical="center"/>
    </xf>
    <xf numFmtId="0" fontId="16" fillId="0" borderId="17" xfId="0" applyFont="1" applyBorder="1" applyAlignment="1" applyProtection="1">
      <alignment vertical="center"/>
    </xf>
    <xf numFmtId="0" fontId="7" fillId="0" borderId="33" xfId="0" applyFont="1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34" xfId="0" applyBorder="1" applyAlignment="1" applyProtection="1">
      <alignment vertical="center"/>
    </xf>
    <xf numFmtId="0" fontId="20" fillId="2" borderId="5" xfId="0" applyFont="1" applyFill="1" applyBorder="1" applyAlignment="1" applyProtection="1">
      <alignment horizontal="center" vertical="center" wrapText="1"/>
    </xf>
    <xf numFmtId="0" fontId="17" fillId="0" borderId="6" xfId="0" applyFont="1" applyBorder="1" applyAlignment="1" applyProtection="1">
      <alignment horizontal="center" vertical="center"/>
    </xf>
    <xf numFmtId="49" fontId="10" fillId="2" borderId="6" xfId="0" applyNumberFormat="1" applyFont="1" applyFill="1" applyBorder="1" applyAlignment="1" applyProtection="1">
      <alignment horizontal="center" vertical="center" wrapText="1"/>
    </xf>
    <xf numFmtId="0" fontId="20" fillId="6" borderId="6" xfId="0" applyFont="1" applyFill="1" applyBorder="1" applyAlignment="1" applyProtection="1">
      <alignment horizontal="center" vertical="center" wrapText="1"/>
    </xf>
    <xf numFmtId="0" fontId="10" fillId="6" borderId="6" xfId="0" applyFont="1" applyFill="1" applyBorder="1" applyAlignment="1" applyProtection="1">
      <alignment horizontal="center" vertical="center" wrapText="1"/>
    </xf>
    <xf numFmtId="0" fontId="22" fillId="0" borderId="6" xfId="0" applyFont="1" applyBorder="1" applyAlignment="1" applyProtection="1">
      <alignment horizontal="center" vertical="center" wrapText="1"/>
    </xf>
    <xf numFmtId="0" fontId="20" fillId="7" borderId="7" xfId="0" applyFont="1" applyFill="1" applyBorder="1" applyAlignment="1" applyProtection="1">
      <alignment horizontal="center" vertical="center" wrapText="1"/>
    </xf>
    <xf numFmtId="0" fontId="17" fillId="6" borderId="3" xfId="0" applyFont="1" applyFill="1" applyBorder="1" applyAlignment="1" applyProtection="1">
      <alignment horizontal="center" vertical="center"/>
    </xf>
    <xf numFmtId="0" fontId="22" fillId="0" borderId="3" xfId="0" applyFont="1" applyBorder="1" applyAlignment="1" applyProtection="1">
      <alignment horizontal="center" vertical="center"/>
    </xf>
    <xf numFmtId="0" fontId="20" fillId="0" borderId="7" xfId="0" applyFont="1" applyBorder="1" applyAlignment="1" applyProtection="1">
      <alignment horizontal="center" vertical="center" wrapText="1"/>
    </xf>
    <xf numFmtId="0" fontId="20" fillId="0" borderId="3" xfId="0" applyFont="1" applyBorder="1" applyAlignment="1" applyProtection="1">
      <alignment horizontal="center" vertical="center" wrapText="1"/>
    </xf>
    <xf numFmtId="0" fontId="20" fillId="0" borderId="16" xfId="0" applyFont="1" applyBorder="1" applyAlignment="1" applyProtection="1">
      <alignment horizontal="center" vertical="center" wrapText="1"/>
    </xf>
    <xf numFmtId="0" fontId="0" fillId="0" borderId="33" xfId="0" applyBorder="1" applyAlignment="1" applyProtection="1">
      <alignment vertical="center"/>
    </xf>
    <xf numFmtId="0" fontId="28" fillId="10" borderId="7" xfId="0" applyFont="1" applyFill="1" applyBorder="1" applyAlignment="1" applyProtection="1">
      <alignment horizontal="center" vertical="center" shrinkToFit="1"/>
    </xf>
    <xf numFmtId="0" fontId="28" fillId="10" borderId="3" xfId="0" applyFont="1" applyFill="1" applyBorder="1" applyAlignment="1" applyProtection="1">
      <alignment horizontal="center" vertical="center" wrapText="1"/>
    </xf>
    <xf numFmtId="0" fontId="16" fillId="11" borderId="3" xfId="0" applyFont="1" applyFill="1" applyBorder="1" applyAlignment="1" applyProtection="1">
      <alignment vertical="center"/>
    </xf>
    <xf numFmtId="164" fontId="28" fillId="10" borderId="3" xfId="0" applyNumberFormat="1" applyFont="1" applyFill="1" applyBorder="1" applyAlignment="1" applyProtection="1">
      <alignment horizontal="center" vertical="center" wrapText="1"/>
    </xf>
    <xf numFmtId="164" fontId="28" fillId="10" borderId="3" xfId="0" applyNumberFormat="1" applyFont="1" applyFill="1" applyBorder="1" applyAlignment="1" applyProtection="1">
      <alignment horizontal="center" vertical="center" wrapText="1"/>
    </xf>
    <xf numFmtId="0" fontId="16" fillId="11" borderId="3" xfId="0" applyFont="1" applyFill="1" applyBorder="1" applyAlignment="1" applyProtection="1">
      <alignment horizontal="center" vertical="center"/>
    </xf>
    <xf numFmtId="0" fontId="16" fillId="11" borderId="16" xfId="0" applyFont="1" applyFill="1" applyBorder="1" applyAlignment="1" applyProtection="1">
      <alignment vertical="center"/>
    </xf>
    <xf numFmtId="0" fontId="8" fillId="0" borderId="33" xfId="0" applyFont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44" fontId="24" fillId="0" borderId="30" xfId="0" applyNumberFormat="1" applyFont="1" applyBorder="1" applyAlignment="1" applyProtection="1">
      <alignment horizontal="center" vertical="center"/>
    </xf>
    <xf numFmtId="44" fontId="24" fillId="0" borderId="32" xfId="0" applyNumberFormat="1" applyFont="1" applyBorder="1" applyAlignment="1" applyProtection="1">
      <alignment horizontal="center" vertical="center"/>
    </xf>
    <xf numFmtId="0" fontId="15" fillId="6" borderId="24" xfId="0" applyFont="1" applyFill="1" applyBorder="1" applyAlignment="1" applyProtection="1">
      <alignment horizontal="center" vertical="center" wrapText="1"/>
    </xf>
    <xf numFmtId="0" fontId="15" fillId="6" borderId="1" xfId="0" applyFont="1" applyFill="1" applyBorder="1" applyAlignment="1" applyProtection="1">
      <alignment horizontal="center" vertical="center" wrapText="1"/>
    </xf>
    <xf numFmtId="0" fontId="15" fillId="6" borderId="2" xfId="0" applyFont="1" applyFill="1" applyBorder="1" applyAlignment="1" applyProtection="1">
      <alignment horizontal="center" vertical="center" wrapText="1"/>
    </xf>
    <xf numFmtId="0" fontId="27" fillId="6" borderId="14" xfId="0" applyFont="1" applyFill="1" applyBorder="1" applyAlignment="1" applyProtection="1">
      <alignment horizontal="center" vertical="center" wrapText="1"/>
    </xf>
    <xf numFmtId="0" fontId="7" fillId="0" borderId="33" xfId="0" applyFont="1" applyBorder="1" applyAlignment="1" applyProtection="1">
      <alignment horizontal="center" vertical="center"/>
    </xf>
    <xf numFmtId="0" fontId="15" fillId="4" borderId="5" xfId="0" applyFont="1" applyFill="1" applyBorder="1" applyAlignment="1" applyProtection="1">
      <alignment horizontal="center" vertical="center" wrapText="1"/>
    </xf>
    <xf numFmtId="0" fontId="16" fillId="0" borderId="13" xfId="0" applyFont="1" applyBorder="1" applyAlignment="1" applyProtection="1">
      <alignment vertical="center"/>
    </xf>
    <xf numFmtId="0" fontId="16" fillId="0" borderId="35" xfId="0" applyFont="1" applyBorder="1" applyAlignment="1" applyProtection="1">
      <alignment vertical="center"/>
    </xf>
    <xf numFmtId="0" fontId="15" fillId="5" borderId="26" xfId="0" applyFont="1" applyFill="1" applyBorder="1" applyAlignment="1" applyProtection="1">
      <alignment horizontal="center" vertical="center"/>
    </xf>
    <xf numFmtId="0" fontId="15" fillId="5" borderId="22" xfId="0" applyFont="1" applyFill="1" applyBorder="1" applyAlignment="1" applyProtection="1">
      <alignment horizontal="center" vertical="center"/>
    </xf>
    <xf numFmtId="0" fontId="15" fillId="5" borderId="23" xfId="0" applyFont="1" applyFill="1" applyBorder="1" applyAlignment="1" applyProtection="1">
      <alignment horizontal="center" vertical="center"/>
    </xf>
    <xf numFmtId="0" fontId="15" fillId="5" borderId="3" xfId="0" applyFont="1" applyFill="1" applyBorder="1" applyAlignment="1" applyProtection="1">
      <alignment horizontal="center" vertical="center"/>
    </xf>
    <xf numFmtId="0" fontId="16" fillId="0" borderId="11" xfId="0" applyFont="1" applyBorder="1" applyAlignment="1" applyProtection="1">
      <alignment vertical="center"/>
    </xf>
    <xf numFmtId="0" fontId="16" fillId="0" borderId="12" xfId="0" applyFont="1" applyBorder="1" applyAlignment="1" applyProtection="1">
      <alignment vertical="center"/>
    </xf>
    <xf numFmtId="0" fontId="15" fillId="5" borderId="3" xfId="0" applyFont="1" applyFill="1" applyBorder="1" applyAlignment="1" applyProtection="1">
      <alignment horizontal="center" vertical="center" wrapText="1"/>
    </xf>
    <xf numFmtId="0" fontId="15" fillId="5" borderId="28" xfId="0" applyFont="1" applyFill="1" applyBorder="1" applyAlignment="1" applyProtection="1">
      <alignment horizontal="center" vertical="center"/>
    </xf>
    <xf numFmtId="0" fontId="15" fillId="5" borderId="36" xfId="0" applyFont="1" applyFill="1" applyBorder="1" applyAlignment="1" applyProtection="1">
      <alignment horizontal="center" vertical="center"/>
    </xf>
    <xf numFmtId="0" fontId="15" fillId="5" borderId="27" xfId="0" applyFont="1" applyFill="1" applyBorder="1" applyAlignment="1" applyProtection="1">
      <alignment horizontal="center" vertical="center"/>
    </xf>
    <xf numFmtId="0" fontId="15" fillId="5" borderId="19" xfId="0" applyFont="1" applyFill="1" applyBorder="1" applyAlignment="1" applyProtection="1">
      <alignment horizontal="center" vertical="center"/>
    </xf>
    <xf numFmtId="0" fontId="15" fillId="5" borderId="20" xfId="0" applyFont="1" applyFill="1" applyBorder="1" applyAlignment="1" applyProtection="1">
      <alignment horizontal="center" vertical="center"/>
    </xf>
    <xf numFmtId="0" fontId="15" fillId="8" borderId="3" xfId="0" applyFont="1" applyFill="1" applyBorder="1" applyAlignment="1" applyProtection="1">
      <alignment horizontal="center" vertical="center"/>
    </xf>
    <xf numFmtId="0" fontId="16" fillId="9" borderId="11" xfId="0" applyFont="1" applyFill="1" applyBorder="1" applyAlignment="1" applyProtection="1">
      <alignment vertical="center"/>
    </xf>
    <xf numFmtId="0" fontId="16" fillId="9" borderId="12" xfId="0" applyFont="1" applyFill="1" applyBorder="1" applyAlignment="1" applyProtection="1">
      <alignment vertical="center"/>
    </xf>
    <xf numFmtId="0" fontId="15" fillId="8" borderId="3" xfId="0" applyFont="1" applyFill="1" applyBorder="1" applyAlignment="1" applyProtection="1">
      <alignment horizontal="center" vertical="center" wrapText="1"/>
    </xf>
    <xf numFmtId="0" fontId="15" fillId="5" borderId="29" xfId="0" applyFont="1" applyFill="1" applyBorder="1" applyAlignment="1" applyProtection="1">
      <alignment horizontal="center" vertical="center"/>
    </xf>
    <xf numFmtId="0" fontId="15" fillId="5" borderId="37" xfId="0" applyFont="1" applyFill="1" applyBorder="1" applyAlignment="1" applyProtection="1">
      <alignment horizontal="center" vertical="center"/>
    </xf>
    <xf numFmtId="0" fontId="15" fillId="6" borderId="7" xfId="0" applyFont="1" applyFill="1" applyBorder="1" applyAlignment="1" applyProtection="1">
      <alignment horizontal="center" vertical="center"/>
    </xf>
    <xf numFmtId="0" fontId="16" fillId="6" borderId="12" xfId="0" applyFont="1" applyFill="1" applyBorder="1" applyAlignment="1" applyProtection="1">
      <alignment vertical="center"/>
    </xf>
    <xf numFmtId="0" fontId="15" fillId="6" borderId="3" xfId="0" applyFont="1" applyFill="1" applyBorder="1" applyAlignment="1" applyProtection="1">
      <alignment horizontal="center" vertical="center"/>
    </xf>
    <xf numFmtId="0" fontId="15" fillId="6" borderId="3" xfId="0" applyFont="1" applyFill="1" applyBorder="1" applyAlignment="1" applyProtection="1">
      <alignment horizontal="center" vertical="center"/>
    </xf>
    <xf numFmtId="0" fontId="15" fillId="0" borderId="3" xfId="0" applyFont="1" applyBorder="1" applyAlignment="1" applyProtection="1">
      <alignment horizontal="center" vertical="center"/>
    </xf>
    <xf numFmtId="0" fontId="15" fillId="9" borderId="3" xfId="0" applyFont="1" applyFill="1" applyBorder="1" applyAlignment="1" applyProtection="1">
      <alignment horizontal="center" vertical="center"/>
    </xf>
    <xf numFmtId="0" fontId="16" fillId="9" borderId="38" xfId="0" applyFont="1" applyFill="1" applyBorder="1" applyAlignment="1" applyProtection="1">
      <alignment vertical="center"/>
    </xf>
    <xf numFmtId="0" fontId="18" fillId="6" borderId="7" xfId="0" applyFont="1" applyFill="1" applyBorder="1" applyAlignment="1" applyProtection="1">
      <alignment horizontal="center" vertical="center"/>
    </xf>
    <xf numFmtId="0" fontId="19" fillId="6" borderId="12" xfId="0" applyFont="1" applyFill="1" applyBorder="1" applyAlignment="1" applyProtection="1">
      <alignment vertical="center"/>
    </xf>
    <xf numFmtId="0" fontId="18" fillId="6" borderId="3" xfId="0" applyFont="1" applyFill="1" applyBorder="1" applyAlignment="1" applyProtection="1">
      <alignment horizontal="center" vertical="center"/>
    </xf>
    <xf numFmtId="0" fontId="18" fillId="6" borderId="3" xfId="0" applyFont="1" applyFill="1" applyBorder="1" applyAlignment="1" applyProtection="1">
      <alignment horizontal="center" vertical="center"/>
    </xf>
    <xf numFmtId="0" fontId="18" fillId="6" borderId="3" xfId="0" applyFont="1" applyFill="1" applyBorder="1" applyAlignment="1" applyProtection="1">
      <alignment horizontal="center" vertical="center" wrapText="1"/>
    </xf>
    <xf numFmtId="0" fontId="18" fillId="6" borderId="8" xfId="0" applyFont="1" applyFill="1" applyBorder="1" applyAlignment="1" applyProtection="1">
      <alignment horizontal="center" vertical="center" wrapText="1"/>
    </xf>
    <xf numFmtId="0" fontId="19" fillId="6" borderId="9" xfId="0" applyFont="1" applyFill="1" applyBorder="1" applyAlignment="1" applyProtection="1">
      <alignment vertical="center"/>
    </xf>
    <xf numFmtId="0" fontId="18" fillId="6" borderId="4" xfId="0" applyFont="1" applyFill="1" applyBorder="1" applyAlignment="1" applyProtection="1">
      <alignment horizontal="center" vertical="center" wrapText="1"/>
    </xf>
    <xf numFmtId="0" fontId="18" fillId="6" borderId="4" xfId="0" applyFont="1" applyFill="1" applyBorder="1" applyAlignment="1" applyProtection="1">
      <alignment horizontal="center" vertical="center" wrapText="1"/>
    </xf>
    <xf numFmtId="0" fontId="19" fillId="0" borderId="33" xfId="0" applyFont="1" applyBorder="1" applyAlignment="1" applyProtection="1">
      <alignment vertical="center"/>
    </xf>
    <xf numFmtId="0" fontId="19" fillId="0" borderId="0" xfId="0" applyFont="1" applyAlignment="1" applyProtection="1">
      <alignment vertical="center"/>
    </xf>
    <xf numFmtId="0" fontId="19" fillId="0" borderId="34" xfId="0" applyFont="1" applyBorder="1" applyAlignment="1" applyProtection="1">
      <alignment vertical="center"/>
    </xf>
    <xf numFmtId="0" fontId="15" fillId="4" borderId="24" xfId="0" applyFont="1" applyFill="1" applyBorder="1" applyAlignment="1" applyProtection="1">
      <alignment horizontal="center" vertical="center"/>
    </xf>
    <xf numFmtId="0" fontId="16" fillId="0" borderId="1" xfId="0" applyFont="1" applyBorder="1" applyAlignment="1" applyProtection="1">
      <alignment vertical="center"/>
    </xf>
    <xf numFmtId="0" fontId="37" fillId="0" borderId="1" xfId="0" applyFont="1" applyBorder="1" applyAlignment="1" applyProtection="1">
      <alignment horizontal="center" vertical="center"/>
    </xf>
    <xf numFmtId="0" fontId="15" fillId="0" borderId="49" xfId="0" applyFont="1" applyBorder="1" applyAlignment="1" applyProtection="1">
      <alignment horizontal="center" vertical="center"/>
    </xf>
    <xf numFmtId="0" fontId="15" fillId="0" borderId="1" xfId="0" applyFont="1" applyBorder="1" applyAlignment="1" applyProtection="1">
      <alignment horizontal="center" vertical="center"/>
    </xf>
    <xf numFmtId="0" fontId="15" fillId="4" borderId="30" xfId="0" applyFont="1" applyFill="1" applyBorder="1" applyAlignment="1" applyProtection="1">
      <alignment horizontal="center" vertical="center"/>
    </xf>
    <xf numFmtId="0" fontId="16" fillId="0" borderId="30" xfId="0" applyFont="1" applyBorder="1" applyAlignment="1" applyProtection="1">
      <alignment vertical="center"/>
    </xf>
    <xf numFmtId="0" fontId="15" fillId="12" borderId="5" xfId="0" applyFont="1" applyFill="1" applyBorder="1" applyAlignment="1" applyProtection="1">
      <alignment horizontal="center" vertical="center" wrapText="1"/>
    </xf>
    <xf numFmtId="0" fontId="16" fillId="15" borderId="13" xfId="0" applyFont="1" applyFill="1" applyBorder="1" applyAlignment="1" applyProtection="1">
      <alignment vertical="center"/>
    </xf>
    <xf numFmtId="0" fontId="16" fillId="15" borderId="30" xfId="0" applyFont="1" applyFill="1" applyBorder="1" applyAlignment="1" applyProtection="1">
      <alignment vertical="center"/>
    </xf>
    <xf numFmtId="0" fontId="16" fillId="15" borderId="35" xfId="0" applyFont="1" applyFill="1" applyBorder="1" applyAlignment="1" applyProtection="1">
      <alignment vertical="center"/>
    </xf>
    <xf numFmtId="0" fontId="15" fillId="14" borderId="43" xfId="0" applyFont="1" applyFill="1" applyBorder="1" applyAlignment="1" applyProtection="1">
      <alignment horizontal="center" vertical="center"/>
    </xf>
    <xf numFmtId="0" fontId="15" fillId="14" borderId="10" xfId="0" applyFont="1" applyFill="1" applyBorder="1" applyAlignment="1" applyProtection="1">
      <alignment horizontal="center" vertical="center"/>
    </xf>
    <xf numFmtId="0" fontId="15" fillId="14" borderId="9" xfId="0" applyFont="1" applyFill="1" applyBorder="1" applyAlignment="1" applyProtection="1">
      <alignment horizontal="center" vertical="center"/>
    </xf>
    <xf numFmtId="0" fontId="15" fillId="0" borderId="46" xfId="0" applyFont="1" applyBorder="1" applyAlignment="1" applyProtection="1">
      <alignment horizontal="center" vertical="center"/>
    </xf>
    <xf numFmtId="0" fontId="15" fillId="0" borderId="9" xfId="0" applyFont="1" applyBorder="1" applyAlignment="1" applyProtection="1">
      <alignment horizontal="center" vertical="center"/>
    </xf>
    <xf numFmtId="0" fontId="15" fillId="0" borderId="4" xfId="0" applyFont="1" applyBorder="1" applyAlignment="1" applyProtection="1">
      <alignment horizontal="center" vertical="center" wrapText="1"/>
    </xf>
    <xf numFmtId="0" fontId="20" fillId="12" borderId="44" xfId="0" applyFont="1" applyFill="1" applyBorder="1" applyAlignment="1" applyProtection="1">
      <alignment horizontal="center" vertical="center"/>
    </xf>
    <xf numFmtId="0" fontId="20" fillId="12" borderId="45" xfId="0" applyFont="1" applyFill="1" applyBorder="1" applyAlignment="1" applyProtection="1">
      <alignment horizontal="center" vertical="center"/>
    </xf>
    <xf numFmtId="0" fontId="20" fillId="12" borderId="48" xfId="0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Moneda" xfId="1" builtinId="4"/>
    <cellStyle name="Normal" xfId="0" builtinId="0"/>
  </cellStyles>
  <dxfs count="7">
    <dxf>
      <font>
        <b/>
        <i val="0"/>
        <color auto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162992</xdr:colOff>
      <xdr:row>1</xdr:row>
      <xdr:rowOff>248250</xdr:rowOff>
    </xdr:from>
    <xdr:to>
      <xdr:col>3</xdr:col>
      <xdr:colOff>574541</xdr:colOff>
      <xdr:row>3</xdr:row>
      <xdr:rowOff>102815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072" y="391125"/>
          <a:ext cx="1517129" cy="616565"/>
        </a:xfrm>
        <a:prstGeom prst="rect">
          <a:avLst/>
        </a:prstGeom>
        <a:ln>
          <a:prstDash val="solid"/>
        </a:ln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Shirley Jasmín  Hernández Puentes" id="{5056FE3A-5845-41A1-A3EC-39A3DFD51D6E}" userId="S::s.hernandez@Betjuego.onmicrosoft.com::a541654b-bc01-4949-aead-4249780ec1c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A11" totalsRowShown="0" headerRowDxfId="6" dataDxfId="5">
  <autoFilter ref="A1:A11" xr:uid="{00000000-0009-0000-0100-000001000000}"/>
  <sortState xmlns:xlrd2="http://schemas.microsoft.com/office/spreadsheetml/2017/richdata2" ref="A2:A11">
    <sortCondition ref="A1:A11"/>
  </sortState>
  <tableColumns count="1">
    <tableColumn id="1" xr3:uid="{00000000-0010-0000-0000-000001000000}" name="Columna1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" dT="2026-04-16T21:30:19.44" personId="{5056FE3A-5845-41A1-A3EC-39A3DFD51D6E}" id="{5B14212E-06F4-46FC-8A85-DDCE001AEE64}">
    <text>Lo diligencia compras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"/>
  <sheetViews>
    <sheetView showGridLines="0" tabSelected="1" view="pageBreakPreview" zoomScale="70" zoomScaleNormal="70" zoomScaleSheetLayoutView="70" workbookViewId="0">
      <selection activeCell="B31" activeCellId="35" sqref="F7:G7 P7:R7 F8:J8 M8:O8 Q8 R8 Z7 Z8 AB7 AB8 B10:AB10 B13:AB17 Q18 V18:AB18 D23:F23 D24:F24 D25:F25 I23:K25 N23:Q25 T23 V23 S25:V25 S24 T24 U24 V24 Y24:AB24 Y25:AB25 M27 Q27 U27:AB27 J29:K29 N29:O29 R29:V29 W29:AB29 B31:AB31"/>
    </sheetView>
  </sheetViews>
  <sheetFormatPr baseColWidth="10" defaultColWidth="14.42578125" defaultRowHeight="15" customHeight="1" x14ac:dyDescent="0.25"/>
  <cols>
    <col min="1" max="1" width="2.28515625" style="4" customWidth="1"/>
    <col min="2" max="2" width="7.140625" style="4" customWidth="1"/>
    <col min="3" max="3" width="9.42578125" style="4" customWidth="1"/>
    <col min="4" max="4" width="10.85546875" style="4" customWidth="1"/>
    <col min="5" max="5" width="4.7109375" style="4" customWidth="1"/>
    <col min="6" max="6" width="8.28515625" style="4" customWidth="1"/>
    <col min="7" max="7" width="6" style="4" customWidth="1"/>
    <col min="8" max="8" width="16.28515625" style="4" customWidth="1"/>
    <col min="9" max="10" width="2.85546875" style="4" customWidth="1"/>
    <col min="11" max="11" width="17.7109375" style="4" customWidth="1"/>
    <col min="12" max="12" width="9.42578125" style="4" customWidth="1"/>
    <col min="13" max="13" width="7.5703125" style="4" customWidth="1"/>
    <col min="14" max="14" width="8.42578125" style="4" customWidth="1"/>
    <col min="15" max="15" width="6.7109375" style="4" customWidth="1"/>
    <col min="16" max="16" width="15.5703125" style="4" customWidth="1"/>
    <col min="17" max="17" width="22.5703125" style="4" customWidth="1"/>
    <col min="18" max="18" width="17.140625" style="4" customWidth="1"/>
    <col min="19" max="19" width="10.85546875" style="4" customWidth="1"/>
    <col min="20" max="20" width="11.42578125" style="4" customWidth="1"/>
    <col min="21" max="21" width="11.28515625" style="4" customWidth="1"/>
    <col min="22" max="22" width="13.42578125" style="4" customWidth="1"/>
    <col min="23" max="23" width="6.5703125" style="4" customWidth="1"/>
    <col min="24" max="24" width="6" style="4" customWidth="1"/>
    <col min="25" max="25" width="12.42578125" style="4" customWidth="1"/>
    <col min="26" max="26" width="12.5703125" style="4" customWidth="1"/>
    <col min="27" max="27" width="11.5703125" style="4" customWidth="1"/>
    <col min="28" max="28" width="11.28515625" style="4" customWidth="1"/>
    <col min="29" max="29" width="2.28515625" style="4" customWidth="1"/>
    <col min="30" max="16384" width="14.42578125" style="4"/>
  </cols>
  <sheetData>
    <row r="1" spans="1:29" ht="11.25" customHeight="1" thickBot="1" x14ac:dyDescent="0.3">
      <c r="A1" s="10"/>
      <c r="B1" s="10"/>
      <c r="C1" s="5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14"/>
    </row>
    <row r="2" spans="1:29" ht="30" customHeight="1" x14ac:dyDescent="0.25">
      <c r="A2" s="9"/>
      <c r="B2" s="107"/>
      <c r="C2" s="108"/>
      <c r="D2" s="108"/>
      <c r="E2" s="108"/>
      <c r="F2" s="109" t="s">
        <v>0</v>
      </c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1"/>
      <c r="AC2" s="14"/>
    </row>
    <row r="3" spans="1:29" ht="30" customHeight="1" x14ac:dyDescent="0.25">
      <c r="A3" s="9"/>
      <c r="B3" s="112"/>
      <c r="C3" s="113"/>
      <c r="D3" s="113"/>
      <c r="E3" s="113"/>
      <c r="F3" s="114" t="s">
        <v>1</v>
      </c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6"/>
      <c r="AC3" s="14"/>
    </row>
    <row r="4" spans="1:29" ht="20.100000000000001" customHeight="1" x14ac:dyDescent="0.25">
      <c r="A4" s="11"/>
      <c r="B4" s="112"/>
      <c r="C4" s="113"/>
      <c r="D4" s="113"/>
      <c r="E4" s="113"/>
      <c r="F4" s="114" t="s">
        <v>45</v>
      </c>
      <c r="G4" s="115"/>
      <c r="H4" s="115"/>
      <c r="I4" s="115"/>
      <c r="J4" s="115"/>
      <c r="K4" s="115"/>
      <c r="L4" s="115"/>
      <c r="M4" s="115"/>
      <c r="N4" s="115"/>
      <c r="O4" s="115"/>
      <c r="P4" s="114" t="s">
        <v>2</v>
      </c>
      <c r="Q4" s="115"/>
      <c r="R4" s="115"/>
      <c r="S4" s="115"/>
      <c r="T4" s="115"/>
      <c r="U4" s="115"/>
      <c r="V4" s="115"/>
      <c r="W4" s="115"/>
      <c r="X4" s="115"/>
      <c r="Y4" s="114" t="s">
        <v>3</v>
      </c>
      <c r="Z4" s="115"/>
      <c r="AA4" s="115"/>
      <c r="AB4" s="116"/>
      <c r="AC4" s="14"/>
    </row>
    <row r="5" spans="1:29" ht="20.100000000000001" customHeight="1" thickBot="1" x14ac:dyDescent="0.3">
      <c r="A5" s="11"/>
      <c r="B5" s="117"/>
      <c r="C5" s="118"/>
      <c r="D5" s="118"/>
      <c r="E5" s="118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20" t="s">
        <v>46</v>
      </c>
      <c r="Q5" s="119"/>
      <c r="R5" s="119"/>
      <c r="S5" s="119"/>
      <c r="T5" s="119"/>
      <c r="U5" s="119"/>
      <c r="V5" s="119"/>
      <c r="W5" s="119"/>
      <c r="X5" s="119"/>
      <c r="Y5" s="120" t="s">
        <v>47</v>
      </c>
      <c r="Z5" s="119"/>
      <c r="AA5" s="119"/>
      <c r="AB5" s="121"/>
      <c r="AC5" s="14"/>
    </row>
    <row r="6" spans="1:29" ht="7.5" customHeight="1" thickBot="1" x14ac:dyDescent="0.3">
      <c r="A6" s="11"/>
      <c r="B6" s="122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4"/>
      <c r="AC6" s="14"/>
    </row>
    <row r="7" spans="1:29" ht="54.95" customHeight="1" x14ac:dyDescent="0.25">
      <c r="A7" s="12"/>
      <c r="B7" s="125" t="s">
        <v>4</v>
      </c>
      <c r="C7" s="126"/>
      <c r="D7" s="126"/>
      <c r="E7" s="126"/>
      <c r="F7" s="49"/>
      <c r="G7" s="50"/>
      <c r="H7" s="127" t="s">
        <v>55</v>
      </c>
      <c r="I7" s="127"/>
      <c r="J7" s="127"/>
      <c r="K7" s="127"/>
      <c r="L7" s="127"/>
      <c r="M7" s="127"/>
      <c r="N7" s="127"/>
      <c r="O7" s="127"/>
      <c r="P7" s="59"/>
      <c r="Q7" s="59"/>
      <c r="R7" s="59"/>
      <c r="S7" s="128" t="s">
        <v>54</v>
      </c>
      <c r="T7" s="129"/>
      <c r="U7" s="129"/>
      <c r="V7" s="129"/>
      <c r="W7" s="129"/>
      <c r="X7" s="129"/>
      <c r="Y7" s="130" t="s">
        <v>6</v>
      </c>
      <c r="Z7" s="96" t="b">
        <v>0</v>
      </c>
      <c r="AA7" s="130" t="s">
        <v>5</v>
      </c>
      <c r="AB7" s="98" t="b">
        <v>0</v>
      </c>
      <c r="AC7" s="14"/>
    </row>
    <row r="8" spans="1:29" ht="54.95" customHeight="1" x14ac:dyDescent="0.25">
      <c r="A8" s="11"/>
      <c r="B8" s="131" t="s">
        <v>48</v>
      </c>
      <c r="C8" s="132"/>
      <c r="D8" s="132"/>
      <c r="E8" s="132"/>
      <c r="F8" s="57"/>
      <c r="G8" s="57"/>
      <c r="H8" s="57"/>
      <c r="I8" s="57"/>
      <c r="J8" s="57"/>
      <c r="K8" s="92" t="s">
        <v>36</v>
      </c>
      <c r="L8" s="92"/>
      <c r="M8" s="51" t="s">
        <v>58</v>
      </c>
      <c r="N8" s="52"/>
      <c r="O8" s="53"/>
      <c r="P8" s="91" t="s">
        <v>44</v>
      </c>
      <c r="Q8" s="93" t="s">
        <v>72</v>
      </c>
      <c r="R8" s="94" t="b">
        <v>0</v>
      </c>
      <c r="S8" s="92" t="s">
        <v>56</v>
      </c>
      <c r="T8" s="92"/>
      <c r="U8" s="92"/>
      <c r="V8" s="92"/>
      <c r="W8" s="92"/>
      <c r="X8" s="92"/>
      <c r="Y8" s="133" t="s">
        <v>8</v>
      </c>
      <c r="Z8" s="97" t="b">
        <v>0</v>
      </c>
      <c r="AA8" s="133" t="s">
        <v>7</v>
      </c>
      <c r="AB8" s="99" t="b">
        <v>0</v>
      </c>
      <c r="AC8" s="14"/>
    </row>
    <row r="9" spans="1:29" ht="30" customHeight="1" x14ac:dyDescent="0.25">
      <c r="A9" s="11"/>
      <c r="B9" s="134" t="s">
        <v>57</v>
      </c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6"/>
      <c r="AC9" s="14"/>
    </row>
    <row r="10" spans="1:29" ht="80.099999999999994" customHeight="1" thickBot="1" x14ac:dyDescent="0.3">
      <c r="A10" s="11"/>
      <c r="B10" s="60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2"/>
      <c r="AC10" s="14"/>
    </row>
    <row r="11" spans="1:29" ht="9.75" customHeight="1" x14ac:dyDescent="0.25">
      <c r="A11" s="11"/>
      <c r="B11" s="137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4"/>
      <c r="AC11" s="14"/>
    </row>
    <row r="12" spans="1:29" ht="50.1" customHeight="1" x14ac:dyDescent="0.25">
      <c r="A12" s="11"/>
      <c r="B12" s="138" t="s">
        <v>9</v>
      </c>
      <c r="C12" s="139" t="s">
        <v>10</v>
      </c>
      <c r="D12" s="140"/>
      <c r="E12" s="140"/>
      <c r="F12" s="140"/>
      <c r="G12" s="140"/>
      <c r="H12" s="140"/>
      <c r="I12" s="140"/>
      <c r="J12" s="140"/>
      <c r="K12" s="140"/>
      <c r="L12" s="140"/>
      <c r="M12" s="141" t="s">
        <v>11</v>
      </c>
      <c r="N12" s="140"/>
      <c r="O12" s="141" t="s">
        <v>69</v>
      </c>
      <c r="P12" s="140"/>
      <c r="Q12" s="142" t="s">
        <v>62</v>
      </c>
      <c r="R12" s="141" t="s">
        <v>70</v>
      </c>
      <c r="S12" s="143"/>
      <c r="T12" s="141" t="s">
        <v>35</v>
      </c>
      <c r="U12" s="140"/>
      <c r="V12" s="140"/>
      <c r="W12" s="140"/>
      <c r="X12" s="140"/>
      <c r="Y12" s="140"/>
      <c r="Z12" s="140"/>
      <c r="AA12" s="140"/>
      <c r="AB12" s="144"/>
      <c r="AC12" s="18"/>
    </row>
    <row r="13" spans="1:29" ht="50.1" customHeight="1" x14ac:dyDescent="0.25">
      <c r="A13" s="12"/>
      <c r="B13" s="88">
        <v>1</v>
      </c>
      <c r="C13" s="54"/>
      <c r="D13" s="55"/>
      <c r="E13" s="55"/>
      <c r="F13" s="55"/>
      <c r="G13" s="55"/>
      <c r="H13" s="55"/>
      <c r="I13" s="55"/>
      <c r="J13" s="55"/>
      <c r="K13" s="55"/>
      <c r="L13" s="56"/>
      <c r="M13" s="63">
        <v>0</v>
      </c>
      <c r="N13" s="64"/>
      <c r="O13" s="65"/>
      <c r="P13" s="66"/>
      <c r="Q13" s="20">
        <f>M13*O13</f>
        <v>0</v>
      </c>
      <c r="R13" s="72"/>
      <c r="S13" s="72"/>
      <c r="T13" s="70"/>
      <c r="U13" s="64"/>
      <c r="V13" s="64"/>
      <c r="W13" s="64"/>
      <c r="X13" s="64"/>
      <c r="Y13" s="64"/>
      <c r="Z13" s="64"/>
      <c r="AA13" s="64"/>
      <c r="AB13" s="71"/>
      <c r="AC13" s="14"/>
    </row>
    <row r="14" spans="1:29" ht="50.1" customHeight="1" x14ac:dyDescent="0.25">
      <c r="A14" s="12"/>
      <c r="B14" s="89">
        <v>2</v>
      </c>
      <c r="C14" s="74"/>
      <c r="D14" s="75"/>
      <c r="E14" s="75"/>
      <c r="F14" s="75"/>
      <c r="G14" s="75"/>
      <c r="H14" s="75"/>
      <c r="I14" s="75"/>
      <c r="J14" s="75"/>
      <c r="K14" s="75"/>
      <c r="L14" s="76"/>
      <c r="M14" s="77"/>
      <c r="N14" s="68"/>
      <c r="O14" s="78">
        <v>0</v>
      </c>
      <c r="P14" s="79"/>
      <c r="Q14" s="21">
        <f>+O14*M14</f>
        <v>0</v>
      </c>
      <c r="R14" s="73"/>
      <c r="S14" s="73"/>
      <c r="T14" s="67"/>
      <c r="U14" s="68"/>
      <c r="V14" s="68"/>
      <c r="W14" s="68"/>
      <c r="X14" s="68"/>
      <c r="Y14" s="68"/>
      <c r="Z14" s="68"/>
      <c r="AA14" s="68"/>
      <c r="AB14" s="69"/>
      <c r="AC14" s="14"/>
    </row>
    <row r="15" spans="1:29" ht="50.1" customHeight="1" x14ac:dyDescent="0.25">
      <c r="A15" s="11"/>
      <c r="B15" s="89">
        <v>3</v>
      </c>
      <c r="C15" s="74"/>
      <c r="D15" s="75"/>
      <c r="E15" s="75"/>
      <c r="F15" s="75"/>
      <c r="G15" s="75"/>
      <c r="H15" s="75"/>
      <c r="I15" s="75"/>
      <c r="J15" s="75"/>
      <c r="K15" s="75"/>
      <c r="L15" s="76"/>
      <c r="M15" s="77"/>
      <c r="N15" s="68"/>
      <c r="O15" s="78"/>
      <c r="P15" s="79"/>
      <c r="Q15" s="21">
        <f>+O15*M15</f>
        <v>0</v>
      </c>
      <c r="R15" s="73"/>
      <c r="S15" s="73"/>
      <c r="T15" s="67"/>
      <c r="U15" s="68"/>
      <c r="V15" s="68"/>
      <c r="W15" s="68"/>
      <c r="X15" s="68"/>
      <c r="Y15" s="68"/>
      <c r="Z15" s="68"/>
      <c r="AA15" s="68"/>
      <c r="AB15" s="69"/>
      <c r="AC15" s="14"/>
    </row>
    <row r="16" spans="1:29" ht="50.1" customHeight="1" x14ac:dyDescent="0.25">
      <c r="A16" s="11"/>
      <c r="B16" s="89">
        <v>4</v>
      </c>
      <c r="C16" s="74"/>
      <c r="D16" s="75"/>
      <c r="E16" s="75"/>
      <c r="F16" s="75"/>
      <c r="G16" s="75"/>
      <c r="H16" s="75"/>
      <c r="I16" s="75"/>
      <c r="J16" s="75"/>
      <c r="K16" s="75"/>
      <c r="L16" s="76"/>
      <c r="M16" s="77"/>
      <c r="N16" s="68"/>
      <c r="O16" s="78"/>
      <c r="P16" s="79"/>
      <c r="Q16" s="21">
        <f>M16*O16</f>
        <v>0</v>
      </c>
      <c r="R16" s="73"/>
      <c r="S16" s="73"/>
      <c r="T16" s="67"/>
      <c r="U16" s="68"/>
      <c r="V16" s="68"/>
      <c r="W16" s="68"/>
      <c r="X16" s="68"/>
      <c r="Y16" s="68"/>
      <c r="Z16" s="68"/>
      <c r="AA16" s="68"/>
      <c r="AB16" s="69"/>
      <c r="AC16" s="14"/>
    </row>
    <row r="17" spans="1:29" ht="50.1" customHeight="1" thickBot="1" x14ac:dyDescent="0.3">
      <c r="A17" s="11"/>
      <c r="B17" s="90">
        <v>5</v>
      </c>
      <c r="C17" s="43"/>
      <c r="D17" s="44"/>
      <c r="E17" s="44"/>
      <c r="F17" s="44"/>
      <c r="G17" s="44"/>
      <c r="H17" s="44"/>
      <c r="I17" s="44"/>
      <c r="J17" s="44"/>
      <c r="K17" s="44"/>
      <c r="L17" s="45"/>
      <c r="M17" s="46"/>
      <c r="N17" s="47"/>
      <c r="O17" s="80"/>
      <c r="P17" s="81"/>
      <c r="Q17" s="22">
        <f>M17*O17</f>
        <v>0</v>
      </c>
      <c r="R17" s="82"/>
      <c r="S17" s="82"/>
      <c r="T17" s="83"/>
      <c r="U17" s="47"/>
      <c r="V17" s="47"/>
      <c r="W17" s="47"/>
      <c r="X17" s="47"/>
      <c r="Y17" s="47"/>
      <c r="Z17" s="47"/>
      <c r="AA17" s="47"/>
      <c r="AB17" s="84"/>
      <c r="AC17" s="14"/>
    </row>
    <row r="18" spans="1:29" s="5" customFormat="1" ht="57" customHeight="1" thickBot="1" x14ac:dyDescent="0.3">
      <c r="A18" s="8"/>
      <c r="B18" s="145"/>
      <c r="C18" s="146"/>
      <c r="D18" s="146"/>
      <c r="E18" s="146"/>
      <c r="F18" s="146"/>
      <c r="G18" s="146"/>
      <c r="H18" s="147" t="str">
        <f>IF(Q18&gt;17509050,"APLICA CONTRATO","NO APLICA CONTRATO ")</f>
        <v xml:space="preserve">NO APLICA CONTRATO </v>
      </c>
      <c r="I18" s="147"/>
      <c r="J18" s="147"/>
      <c r="K18" s="147"/>
      <c r="L18" s="148"/>
      <c r="M18" s="149" t="s">
        <v>60</v>
      </c>
      <c r="N18" s="150"/>
      <c r="O18" s="150"/>
      <c r="P18" s="151"/>
      <c r="Q18" s="17">
        <f>+SUM(Q13:Q17)</f>
        <v>0</v>
      </c>
      <c r="R18" s="152" t="s">
        <v>61</v>
      </c>
      <c r="S18" s="152"/>
      <c r="T18" s="152"/>
      <c r="U18" s="152"/>
      <c r="V18" s="85"/>
      <c r="W18" s="86"/>
      <c r="X18" s="86"/>
      <c r="Y18" s="86"/>
      <c r="Z18" s="86"/>
      <c r="AA18" s="86"/>
      <c r="AB18" s="87"/>
      <c r="AC18" s="16"/>
    </row>
    <row r="19" spans="1:29" ht="9" customHeight="1" thickBot="1" x14ac:dyDescent="0.3">
      <c r="A19" s="11"/>
      <c r="B19" s="15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4"/>
      <c r="AC19" s="14"/>
    </row>
    <row r="20" spans="1:29" ht="30" customHeight="1" x14ac:dyDescent="0.25">
      <c r="A20" s="11"/>
      <c r="B20" s="154" t="s">
        <v>12</v>
      </c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6"/>
      <c r="AC20" s="14"/>
    </row>
    <row r="21" spans="1:29" ht="30" customHeight="1" x14ac:dyDescent="0.25">
      <c r="A21" s="11"/>
      <c r="B21" s="157" t="s">
        <v>13</v>
      </c>
      <c r="C21" s="158"/>
      <c r="D21" s="158"/>
      <c r="E21" s="158"/>
      <c r="F21" s="159"/>
      <c r="G21" s="160" t="s">
        <v>37</v>
      </c>
      <c r="H21" s="161"/>
      <c r="I21" s="161"/>
      <c r="J21" s="161"/>
      <c r="K21" s="162"/>
      <c r="L21" s="163" t="s">
        <v>39</v>
      </c>
      <c r="M21" s="161"/>
      <c r="N21" s="161"/>
      <c r="O21" s="161"/>
      <c r="P21" s="161"/>
      <c r="Q21" s="162"/>
      <c r="R21" s="163" t="s">
        <v>39</v>
      </c>
      <c r="S21" s="161"/>
      <c r="T21" s="161"/>
      <c r="U21" s="161"/>
      <c r="V21" s="162"/>
      <c r="W21" s="164" t="s">
        <v>14</v>
      </c>
      <c r="X21" s="158"/>
      <c r="Y21" s="158"/>
      <c r="Z21" s="158"/>
      <c r="AA21" s="158"/>
      <c r="AB21" s="165"/>
      <c r="AC21" s="14"/>
    </row>
    <row r="22" spans="1:29" ht="30" customHeight="1" x14ac:dyDescent="0.25">
      <c r="A22" s="11"/>
      <c r="B22" s="166"/>
      <c r="C22" s="167"/>
      <c r="D22" s="167"/>
      <c r="E22" s="167"/>
      <c r="F22" s="168"/>
      <c r="G22" s="169" t="s">
        <v>38</v>
      </c>
      <c r="H22" s="170"/>
      <c r="I22" s="170"/>
      <c r="J22" s="170"/>
      <c r="K22" s="171"/>
      <c r="L22" s="172" t="s">
        <v>40</v>
      </c>
      <c r="M22" s="170"/>
      <c r="N22" s="170"/>
      <c r="O22" s="170"/>
      <c r="P22" s="170"/>
      <c r="Q22" s="171"/>
      <c r="R22" s="172" t="s">
        <v>41</v>
      </c>
      <c r="S22" s="170"/>
      <c r="T22" s="170"/>
      <c r="U22" s="170"/>
      <c r="V22" s="171"/>
      <c r="W22" s="173"/>
      <c r="X22" s="167"/>
      <c r="Y22" s="167"/>
      <c r="Z22" s="167"/>
      <c r="AA22" s="167"/>
      <c r="AB22" s="174"/>
      <c r="AC22" s="14"/>
    </row>
    <row r="23" spans="1:29" ht="54.95" customHeight="1" x14ac:dyDescent="0.25">
      <c r="A23" s="11"/>
      <c r="B23" s="175" t="s">
        <v>15</v>
      </c>
      <c r="C23" s="176"/>
      <c r="D23" s="34"/>
      <c r="E23" s="32"/>
      <c r="F23" s="35"/>
      <c r="G23" s="177" t="s">
        <v>15</v>
      </c>
      <c r="H23" s="176"/>
      <c r="I23" s="34"/>
      <c r="J23" s="32"/>
      <c r="K23" s="35"/>
      <c r="L23" s="177" t="s">
        <v>15</v>
      </c>
      <c r="M23" s="176"/>
      <c r="N23" s="34"/>
      <c r="O23" s="32"/>
      <c r="P23" s="32"/>
      <c r="Q23" s="35"/>
      <c r="R23" s="178" t="s">
        <v>16</v>
      </c>
      <c r="S23" s="179" t="s">
        <v>17</v>
      </c>
      <c r="T23" s="100" t="b">
        <v>0</v>
      </c>
      <c r="U23" s="179" t="s">
        <v>18</v>
      </c>
      <c r="V23" s="101" t="b">
        <v>0</v>
      </c>
      <c r="W23" s="180" t="s">
        <v>53</v>
      </c>
      <c r="X23" s="170"/>
      <c r="Y23" s="170"/>
      <c r="Z23" s="170"/>
      <c r="AA23" s="170"/>
      <c r="AB23" s="181"/>
      <c r="AC23" s="14"/>
    </row>
    <row r="24" spans="1:29" ht="54.95" customHeight="1" x14ac:dyDescent="0.25">
      <c r="A24" s="11"/>
      <c r="B24" s="182" t="s">
        <v>19</v>
      </c>
      <c r="C24" s="183"/>
      <c r="D24" s="34"/>
      <c r="E24" s="32"/>
      <c r="F24" s="35"/>
      <c r="G24" s="184" t="s">
        <v>19</v>
      </c>
      <c r="H24" s="183"/>
      <c r="I24" s="34"/>
      <c r="J24" s="32"/>
      <c r="K24" s="35"/>
      <c r="L24" s="184" t="s">
        <v>19</v>
      </c>
      <c r="M24" s="183"/>
      <c r="N24" s="34"/>
      <c r="O24" s="32"/>
      <c r="P24" s="32"/>
      <c r="Q24" s="35"/>
      <c r="R24" s="185" t="s">
        <v>19</v>
      </c>
      <c r="S24" s="19"/>
      <c r="T24" s="19"/>
      <c r="U24" s="19"/>
      <c r="V24" s="19"/>
      <c r="W24" s="186" t="s">
        <v>20</v>
      </c>
      <c r="X24" s="183"/>
      <c r="Y24" s="31"/>
      <c r="Z24" s="32"/>
      <c r="AA24" s="32"/>
      <c r="AB24" s="33"/>
      <c r="AC24" s="14"/>
    </row>
    <row r="25" spans="1:29" ht="54.95" customHeight="1" thickBot="1" x14ac:dyDescent="0.3">
      <c r="A25" s="11"/>
      <c r="B25" s="187" t="s">
        <v>42</v>
      </c>
      <c r="C25" s="188"/>
      <c r="D25" s="23"/>
      <c r="E25" s="40"/>
      <c r="F25" s="42"/>
      <c r="G25" s="189" t="s">
        <v>21</v>
      </c>
      <c r="H25" s="188"/>
      <c r="I25" s="23"/>
      <c r="J25" s="40"/>
      <c r="K25" s="42"/>
      <c r="L25" s="189" t="s">
        <v>22</v>
      </c>
      <c r="M25" s="188"/>
      <c r="N25" s="23"/>
      <c r="O25" s="40"/>
      <c r="P25" s="40"/>
      <c r="Q25" s="42"/>
      <c r="R25" s="190" t="s">
        <v>23</v>
      </c>
      <c r="S25" s="34"/>
      <c r="T25" s="32"/>
      <c r="U25" s="32"/>
      <c r="V25" s="35"/>
      <c r="W25" s="189" t="s">
        <v>24</v>
      </c>
      <c r="X25" s="188"/>
      <c r="Y25" s="39"/>
      <c r="Z25" s="40"/>
      <c r="AA25" s="40"/>
      <c r="AB25" s="41"/>
      <c r="AC25" s="14"/>
    </row>
    <row r="26" spans="1:29" ht="7.5" customHeight="1" thickBot="1" x14ac:dyDescent="0.3">
      <c r="A26" s="11"/>
      <c r="B26" s="191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3"/>
      <c r="AC26" s="14"/>
    </row>
    <row r="27" spans="1:29" ht="25.5" customHeight="1" thickBot="1" x14ac:dyDescent="0.3">
      <c r="A27" s="11"/>
      <c r="B27" s="194" t="s">
        <v>25</v>
      </c>
      <c r="C27" s="195"/>
      <c r="D27" s="195"/>
      <c r="E27" s="195"/>
      <c r="F27" s="195"/>
      <c r="G27" s="195"/>
      <c r="H27" s="195"/>
      <c r="I27" s="196" t="s">
        <v>76</v>
      </c>
      <c r="J27" s="196"/>
      <c r="K27" s="196"/>
      <c r="L27" s="196"/>
      <c r="M27" s="214" t="b">
        <v>0</v>
      </c>
      <c r="N27" s="197" t="s">
        <v>26</v>
      </c>
      <c r="O27" s="198"/>
      <c r="P27" s="198"/>
      <c r="Q27" s="102" t="b">
        <v>0</v>
      </c>
      <c r="R27" s="199" t="s">
        <v>27</v>
      </c>
      <c r="S27" s="200"/>
      <c r="T27" s="200"/>
      <c r="U27" s="36"/>
      <c r="V27" s="37"/>
      <c r="W27" s="37"/>
      <c r="X27" s="37"/>
      <c r="Y27" s="37"/>
      <c r="Z27" s="37"/>
      <c r="AA27" s="37"/>
      <c r="AB27" s="38"/>
      <c r="AC27" s="14"/>
    </row>
    <row r="28" spans="1:29" ht="30" customHeight="1" thickBot="1" x14ac:dyDescent="0.3">
      <c r="A28" s="11"/>
      <c r="B28" s="201" t="s">
        <v>68</v>
      </c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3"/>
      <c r="S28" s="203"/>
      <c r="T28" s="203"/>
      <c r="U28" s="203"/>
      <c r="V28" s="203"/>
      <c r="W28" s="202"/>
      <c r="X28" s="202"/>
      <c r="Y28" s="202"/>
      <c r="Z28" s="202"/>
      <c r="AA28" s="202"/>
      <c r="AB28" s="204"/>
      <c r="AC28" s="14"/>
    </row>
    <row r="29" spans="1:29" ht="50.1" customHeight="1" thickBot="1" x14ac:dyDescent="0.3">
      <c r="A29" s="11"/>
      <c r="B29" s="205" t="s">
        <v>64</v>
      </c>
      <c r="C29" s="206"/>
      <c r="D29" s="206"/>
      <c r="E29" s="206"/>
      <c r="F29" s="206"/>
      <c r="G29" s="207"/>
      <c r="H29" s="208" t="s">
        <v>65</v>
      </c>
      <c r="I29" s="209"/>
      <c r="J29" s="103" t="b">
        <v>0</v>
      </c>
      <c r="K29" s="104"/>
      <c r="L29" s="208" t="s">
        <v>63</v>
      </c>
      <c r="M29" s="209"/>
      <c r="N29" s="105" t="b">
        <v>0</v>
      </c>
      <c r="O29" s="106"/>
      <c r="P29" s="210" t="s">
        <v>66</v>
      </c>
      <c r="Q29" s="120"/>
      <c r="R29" s="24" t="s">
        <v>71</v>
      </c>
      <c r="S29" s="24"/>
      <c r="T29" s="24"/>
      <c r="U29" s="24"/>
      <c r="V29" s="24"/>
      <c r="W29" s="25" t="s">
        <v>67</v>
      </c>
      <c r="X29" s="26"/>
      <c r="Y29" s="26"/>
      <c r="Z29" s="26"/>
      <c r="AA29" s="26"/>
      <c r="AB29" s="27"/>
      <c r="AC29" s="14"/>
    </row>
    <row r="30" spans="1:29" ht="30" customHeight="1" thickBot="1" x14ac:dyDescent="0.3">
      <c r="A30" s="13"/>
      <c r="B30" s="211" t="s">
        <v>59</v>
      </c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3"/>
      <c r="AC30" s="14"/>
    </row>
    <row r="31" spans="1:29" ht="81.95" customHeight="1" thickBot="1" x14ac:dyDescent="0.3">
      <c r="A31" s="11"/>
      <c r="B31" s="28" t="s">
        <v>49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30"/>
      <c r="AC31" s="14"/>
    </row>
    <row r="32" spans="1:29" ht="15" customHeight="1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</sheetData>
  <sheetProtection algorithmName="SHA-512" hashValue="DWfpzX++Z+R2ejqc7izZ7qtVN0/IvlMdqGitdWZnZL7GyaH3yg1dfrvlw+O0o5LalIpEANhRVvSDyviZtn1h1A==" saltValue="kjtFddGyMQykS71gsQnC2w==" spinCount="100000" sheet="1" objects="1" scenarios="1" formatCells="0" formatRows="0" insertRows="0" deleteRows="0"/>
  <mergeCells count="108">
    <mergeCell ref="O16:P16"/>
    <mergeCell ref="O17:P17"/>
    <mergeCell ref="C16:L16"/>
    <mergeCell ref="G22:K22"/>
    <mergeCell ref="B19:AB19"/>
    <mergeCell ref="B20:AB20"/>
    <mergeCell ref="T16:AB16"/>
    <mergeCell ref="R16:S16"/>
    <mergeCell ref="R17:S17"/>
    <mergeCell ref="G21:K21"/>
    <mergeCell ref="L21:Q21"/>
    <mergeCell ref="R21:V21"/>
    <mergeCell ref="M16:N16"/>
    <mergeCell ref="T17:AB17"/>
    <mergeCell ref="R22:V22"/>
    <mergeCell ref="V18:AB18"/>
    <mergeCell ref="T15:AB15"/>
    <mergeCell ref="T12:AB12"/>
    <mergeCell ref="T13:AB13"/>
    <mergeCell ref="T14:AB14"/>
    <mergeCell ref="R12:S12"/>
    <mergeCell ref="R13:S13"/>
    <mergeCell ref="R14:S14"/>
    <mergeCell ref="R15:S15"/>
    <mergeCell ref="C15:L15"/>
    <mergeCell ref="C14:L14"/>
    <mergeCell ref="M14:N14"/>
    <mergeCell ref="O14:P14"/>
    <mergeCell ref="M15:N15"/>
    <mergeCell ref="O15:P15"/>
    <mergeCell ref="C13:L13"/>
    <mergeCell ref="H7:O7"/>
    <mergeCell ref="F8:J8"/>
    <mergeCell ref="C1:AB1"/>
    <mergeCell ref="F2:AB2"/>
    <mergeCell ref="F3:AB3"/>
    <mergeCell ref="P4:X4"/>
    <mergeCell ref="B2:E5"/>
    <mergeCell ref="Y5:AB5"/>
    <mergeCell ref="F4:O5"/>
    <mergeCell ref="Y4:AB4"/>
    <mergeCell ref="P5:X5"/>
    <mergeCell ref="P7:R7"/>
    <mergeCell ref="B10:AB10"/>
    <mergeCell ref="B9:AB9"/>
    <mergeCell ref="M13:N13"/>
    <mergeCell ref="O13:P13"/>
    <mergeCell ref="B6:AB6"/>
    <mergeCell ref="B7:E7"/>
    <mergeCell ref="B8:E8"/>
    <mergeCell ref="F7:G7"/>
    <mergeCell ref="C12:L12"/>
    <mergeCell ref="M12:N12"/>
    <mergeCell ref="O12:P12"/>
    <mergeCell ref="K8:L8"/>
    <mergeCell ref="M8:O8"/>
    <mergeCell ref="B11:AB11"/>
    <mergeCell ref="S7:X7"/>
    <mergeCell ref="S8:X8"/>
    <mergeCell ref="W23:AB23"/>
    <mergeCell ref="B25:C25"/>
    <mergeCell ref="D25:F25"/>
    <mergeCell ref="L25:M25"/>
    <mergeCell ref="G25:H25"/>
    <mergeCell ref="I25:K25"/>
    <mergeCell ref="R18:U18"/>
    <mergeCell ref="L22:Q22"/>
    <mergeCell ref="C17:L17"/>
    <mergeCell ref="M17:N17"/>
    <mergeCell ref="B23:C23"/>
    <mergeCell ref="D23:F23"/>
    <mergeCell ref="M18:P18"/>
    <mergeCell ref="B21:F22"/>
    <mergeCell ref="H18:L18"/>
    <mergeCell ref="W21:AB22"/>
    <mergeCell ref="G23:H23"/>
    <mergeCell ref="I23:K23"/>
    <mergeCell ref="L23:M23"/>
    <mergeCell ref="N23:Q23"/>
    <mergeCell ref="B30:AB30"/>
    <mergeCell ref="B31:AB31"/>
    <mergeCell ref="Y24:AB24"/>
    <mergeCell ref="B24:C24"/>
    <mergeCell ref="D24:F24"/>
    <mergeCell ref="G24:H24"/>
    <mergeCell ref="I24:K24"/>
    <mergeCell ref="L24:M24"/>
    <mergeCell ref="N24:Q24"/>
    <mergeCell ref="W24:X24"/>
    <mergeCell ref="R27:T27"/>
    <mergeCell ref="U27:AB27"/>
    <mergeCell ref="W25:X25"/>
    <mergeCell ref="Y25:AB25"/>
    <mergeCell ref="B26:AB26"/>
    <mergeCell ref="N25:Q25"/>
    <mergeCell ref="B27:H27"/>
    <mergeCell ref="S25:V25"/>
    <mergeCell ref="I27:L27"/>
    <mergeCell ref="N27:P27"/>
    <mergeCell ref="B28:AB28"/>
    <mergeCell ref="B29:G29"/>
    <mergeCell ref="H29:I29"/>
    <mergeCell ref="J29:K29"/>
    <mergeCell ref="L29:M29"/>
    <mergeCell ref="N29:O29"/>
    <mergeCell ref="P29:Q29"/>
    <mergeCell ref="R29:V29"/>
    <mergeCell ref="W29:AB29"/>
  </mergeCells>
  <conditionalFormatting sqref="H18:L18">
    <cfRule type="containsText" dxfId="3" priority="2" operator="containsText" text="NO APLICA CONTRATO">
      <formula>NOT(ISERROR(SEARCH("NO APLICA CONTRATO",H18)))</formula>
    </cfRule>
    <cfRule type="containsText" dxfId="2" priority="3" operator="containsText" text="APLICA CONTRATO">
      <formula>NOT(ISERROR(SEARCH("APLICA CONTRATO",H18)))</formula>
    </cfRule>
  </conditionalFormatting>
  <conditionalFormatting sqref="Q18">
    <cfRule type="cellIs" dxfId="1" priority="1" operator="lessThan">
      <formula>17509050</formula>
    </cfRule>
    <cfRule type="cellIs" dxfId="0" priority="4" operator="greaterThanOrEqual">
      <formula>17509050</formula>
    </cfRule>
  </conditionalFormatting>
  <dataValidations count="1">
    <dataValidation type="list" allowBlank="1" showInputMessage="1" showErrorMessage="1" sqref="AE5" xr:uid="{00000000-0002-0000-0000-000000000000}"/>
  </dataValidations>
  <printOptions horizontalCentered="1" verticalCentered="1"/>
  <pageMargins left="0.19685039370078741" right="0.19685039370078741" top="0.59055118110236227" bottom="0.59055118110236227" header="0.31496062992125984" footer="0.31496062992125984"/>
  <pageSetup scale="46" orientation="landscape" horizontalDpi="1200" verticalDpi="1200" r:id="rId1"/>
  <rowBreaks count="1" manualBreakCount="1">
    <brk id="31" max="28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2D78BE-D34B-4A2A-A029-D94449D7C3A5}">
          <x14:formula1>
            <xm:f>Hoja1!$A$1:$A$3</xm:f>
          </x14:formula1>
          <xm:sqref>Q8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6809-E582-4606-8352-36D0934DF246}">
  <dimension ref="A1:A3"/>
  <sheetViews>
    <sheetView workbookViewId="0">
      <selection activeCell="B10" sqref="B10"/>
    </sheetView>
  </sheetViews>
  <sheetFormatPr baseColWidth="10" defaultRowHeight="15" x14ac:dyDescent="0.25"/>
  <sheetData>
    <row r="1" spans="1:1" x14ac:dyDescent="0.25">
      <c r="A1" s="95" t="s">
        <v>73</v>
      </c>
    </row>
    <row r="2" spans="1:1" x14ac:dyDescent="0.25">
      <c r="A2" s="95" t="s">
        <v>74</v>
      </c>
    </row>
    <row r="3" spans="1:1" x14ac:dyDescent="0.25">
      <c r="A3" s="95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zoomScale="160" zoomScaleNormal="160" workbookViewId="0">
      <selection activeCell="D6" sqref="D6"/>
    </sheetView>
  </sheetViews>
  <sheetFormatPr baseColWidth="10" defaultRowHeight="15" x14ac:dyDescent="0.25"/>
  <cols>
    <col min="1" max="1" width="36.28515625" bestFit="1" customWidth="1"/>
  </cols>
  <sheetData>
    <row r="1" spans="1:1" x14ac:dyDescent="0.25">
      <c r="A1" s="1" t="s">
        <v>28</v>
      </c>
    </row>
    <row r="2" spans="1:1" x14ac:dyDescent="0.25">
      <c r="A2" s="1" t="s">
        <v>29</v>
      </c>
    </row>
    <row r="3" spans="1:1" x14ac:dyDescent="0.25">
      <c r="A3" s="1" t="s">
        <v>30</v>
      </c>
    </row>
    <row r="4" spans="1:1" x14ac:dyDescent="0.25">
      <c r="A4" s="7" t="s">
        <v>52</v>
      </c>
    </row>
    <row r="5" spans="1:1" x14ac:dyDescent="0.25">
      <c r="A5" s="6" t="s">
        <v>43</v>
      </c>
    </row>
    <row r="6" spans="1:1" x14ac:dyDescent="0.25">
      <c r="A6" s="1" t="s">
        <v>31</v>
      </c>
    </row>
    <row r="7" spans="1:1" x14ac:dyDescent="0.25">
      <c r="A7" s="3" t="s">
        <v>32</v>
      </c>
    </row>
    <row r="8" spans="1:1" x14ac:dyDescent="0.25">
      <c r="A8" s="7" t="s">
        <v>51</v>
      </c>
    </row>
    <row r="9" spans="1:1" x14ac:dyDescent="0.25">
      <c r="A9" s="1" t="s">
        <v>33</v>
      </c>
    </row>
    <row r="10" spans="1:1" x14ac:dyDescent="0.25">
      <c r="A10" s="7" t="s">
        <v>50</v>
      </c>
    </row>
    <row r="11" spans="1:1" x14ac:dyDescent="0.25">
      <c r="A11" s="2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CPR-FOR-002</vt:lpstr>
      <vt:lpstr>Hoja1</vt:lpstr>
      <vt:lpstr>COD DE AREA</vt:lpstr>
      <vt:lpstr>'CPR-FOR-002'!Área_de_impresión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Derian Duvan Cifuentes Perilla</dc:creator>
  <cp:lastModifiedBy>Shirley Jasmín  Hernández Puentes</cp:lastModifiedBy>
  <cp:lastPrinted>2026-07-09T12:57:54Z</cp:lastPrinted>
  <dcterms:created xsi:type="dcterms:W3CDTF">2024-06-06T13:39:52Z</dcterms:created>
  <dcterms:modified xsi:type="dcterms:W3CDTF">2026-07-09T13:09:53Z</dcterms:modified>
</cp:coreProperties>
</file>